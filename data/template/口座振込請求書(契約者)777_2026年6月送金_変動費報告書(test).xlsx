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47\Desktop\"/>
    </mc:Choice>
  </mc:AlternateContent>
  <xr:revisionPtr revIDLastSave="0" documentId="8_{4A302DC0-DBB7-4FB1-B845-C5917848C9F9}" xr6:coauthVersionLast="47" xr6:coauthVersionMax="47" xr10:uidLastSave="{00000000-0000-0000-0000-000000000000}"/>
  <bookViews>
    <workbookView xWindow="-17625" yWindow="2055" windowWidth="16905" windowHeight="9975" xr2:uid="{00000000-000D-0000-FFFF-FFFF00000000}"/>
  </bookViews>
  <sheets>
    <sheet name="口座振込請求書(契約者)777_202606送金分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1" i="1" l="1"/>
  <c r="O40" i="1"/>
  <c r="O39" i="1"/>
  <c r="O47" i="1"/>
  <c r="O35" i="1" s="1"/>
  <c r="O45" i="1"/>
  <c r="O44" i="1"/>
  <c r="O43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38" i="1" s="1"/>
  <c r="O6" i="1"/>
  <c r="O36" i="1" l="1"/>
</calcChain>
</file>

<file path=xl/sharedStrings.xml><?xml version="1.0" encoding="utf-8"?>
<sst xmlns="http://schemas.openxmlformats.org/spreadsheetml/2006/main" count="276" uniqueCount="93">
  <si>
    <t>2026年6月送金トラッドセブンビル　4月末検針分変動費請求・送金内訳書</t>
  </si>
  <si>
    <t>物件No</t>
  </si>
  <si>
    <t>物件名</t>
  </si>
  <si>
    <t>請求先No</t>
  </si>
  <si>
    <t>請求先名</t>
  </si>
  <si>
    <t>家賃振込先口座No</t>
  </si>
  <si>
    <t>家賃振込先口座</t>
  </si>
  <si>
    <t>部　屋</t>
  </si>
  <si>
    <t>該当年月</t>
  </si>
  <si>
    <t>入金項目</t>
  </si>
  <si>
    <t>請求額</t>
  </si>
  <si>
    <t>請求 税額</t>
  </si>
  <si>
    <t>入金額</t>
  </si>
  <si>
    <t>入金 税額</t>
  </si>
  <si>
    <t>送金額</t>
  </si>
  <si>
    <t>未収金</t>
  </si>
  <si>
    <t>未収金 税額</t>
  </si>
  <si>
    <t>過剰金</t>
  </si>
  <si>
    <t>相殺額</t>
  </si>
  <si>
    <t>相殺 税額</t>
  </si>
  <si>
    <t>差引未収額</t>
  </si>
  <si>
    <t>予定 入金区分</t>
  </si>
  <si>
    <t>使用量・備考</t>
  </si>
  <si>
    <t>備考(書式出力用)</t>
  </si>
  <si>
    <t>トラッドセブンビル</t>
  </si>
  <si>
    <t>折原　裕実</t>
  </si>
  <si>
    <t>荘内銀行 山形本店営業部 普通預金 329551 ㈱クリエイト礼文</t>
  </si>
  <si>
    <t>1C</t>
  </si>
  <si>
    <t>2026/04</t>
  </si>
  <si>
    <t>水道料</t>
  </si>
  <si>
    <t>振込</t>
  </si>
  <si>
    <t xml:space="preserve"> (使用量30=8721-8691)</t>
  </si>
  <si>
    <t>※未収金（4月分）</t>
  </si>
  <si>
    <t>電気料金（電灯）</t>
  </si>
  <si>
    <t xml:space="preserve"> (使用量647=94773-94126)</t>
  </si>
  <si>
    <t>電気料金（動力）</t>
  </si>
  <si>
    <t xml:space="preserve"> (使用量29=77639-77610)</t>
  </si>
  <si>
    <t>※※合　計※※</t>
  </si>
  <si>
    <t>1E</t>
  </si>
  <si>
    <t xml:space="preserve"> (使用量3=3365-3362)</t>
  </si>
  <si>
    <t xml:space="preserve"> (使用量245=38082-37837)</t>
  </si>
  <si>
    <t xml:space="preserve"> (使用量15=73095-73080)</t>
  </si>
  <si>
    <t>1F</t>
  </si>
  <si>
    <t xml:space="preserve"> (使用量1274=79639-78365)</t>
  </si>
  <si>
    <t xml:space="preserve"> (使用量5=42631-42626)</t>
  </si>
  <si>
    <t>2A</t>
  </si>
  <si>
    <t xml:space="preserve"> (使用量147=90358-90211)</t>
  </si>
  <si>
    <t xml:space="preserve"> (使用量168=82786-82618)</t>
  </si>
  <si>
    <t>2C</t>
  </si>
  <si>
    <t xml:space="preserve"> (使用量39=49854-49815)</t>
  </si>
  <si>
    <t xml:space="preserve"> (使用量53=51775-51722)</t>
  </si>
  <si>
    <t>2D</t>
  </si>
  <si>
    <t xml:space="preserve"> (使用量72=41476-41404)</t>
  </si>
  <si>
    <t xml:space="preserve"> (使用量42=31021-30979)</t>
  </si>
  <si>
    <t>2F</t>
  </si>
  <si>
    <t xml:space="preserve"> (使用量460=62386-61926)</t>
  </si>
  <si>
    <t xml:space="preserve"> (使用量334=58951-58617)</t>
  </si>
  <si>
    <t>3B</t>
  </si>
  <si>
    <t xml:space="preserve"> (使用量247=19192-18945)</t>
  </si>
  <si>
    <t xml:space="preserve"> (使用量77=11527-11450)</t>
  </si>
  <si>
    <t>3C</t>
  </si>
  <si>
    <t xml:space="preserve"> (使用量13=36909-36896)</t>
  </si>
  <si>
    <t xml:space="preserve"> (使用量62=50884-50822)</t>
  </si>
  <si>
    <t>3E</t>
  </si>
  <si>
    <t xml:space="preserve"> (使用量316=39884-39568)</t>
  </si>
  <si>
    <t xml:space="preserve"> (使用量130=95961-95831)</t>
  </si>
  <si>
    <t>※※総合計※※</t>
  </si>
  <si>
    <t>2026/03</t>
  </si>
  <si>
    <t xml:space="preserve"> (使用量29=8691-8662)</t>
  </si>
  <si>
    <t>※回収金（3月分回収）</t>
  </si>
  <si>
    <t xml:space="preserve"> (使用量610=94126-93516)</t>
  </si>
  <si>
    <t xml:space="preserve"> (使用量204=77610-77406)</t>
  </si>
  <si>
    <t>回収金</t>
    <rPh sb="0" eb="3">
      <t>カイシュウキン</t>
    </rPh>
    <phoneticPr fontId="3"/>
  </si>
  <si>
    <t>送金合計</t>
    <rPh sb="0" eb="2">
      <t>ソウキン</t>
    </rPh>
    <rPh sb="2" eb="4">
      <t>ゴウケイ</t>
    </rPh>
    <phoneticPr fontId="3"/>
  </si>
  <si>
    <t>未収</t>
    <rPh sb="0" eb="2">
      <t>ミシュウ</t>
    </rPh>
    <phoneticPr fontId="3"/>
  </si>
  <si>
    <t>※回収金</t>
    <rPh sb="1" eb="4">
      <t>カイシュウキン</t>
    </rPh>
    <phoneticPr fontId="3"/>
  </si>
  <si>
    <t>4月分水道料</t>
    <rPh sb="1" eb="3">
      <t>ガツブン</t>
    </rPh>
    <rPh sb="3" eb="6">
      <t>スイドウリョウ</t>
    </rPh>
    <phoneticPr fontId="3"/>
  </si>
  <si>
    <t>4月分電気料</t>
    <rPh sb="1" eb="3">
      <t>ガツブン</t>
    </rPh>
    <rPh sb="3" eb="6">
      <t>デンキリョウ</t>
    </rPh>
    <phoneticPr fontId="3"/>
  </si>
  <si>
    <t>荘内銀行 山形本店営業部 普通預金 329552 ㈱クリエイト礼文</t>
  </si>
  <si>
    <t>荘内銀行 山形本店営業部 普通預金 329553 ㈱クリエイト礼文</t>
  </si>
  <si>
    <t>2026/05</t>
  </si>
  <si>
    <t>1C</t>
    <phoneticPr fontId="3"/>
  </si>
  <si>
    <t>電気料金（動力）</t>
    <rPh sb="5" eb="7">
      <t>ドウリョク</t>
    </rPh>
    <phoneticPr fontId="3"/>
  </si>
  <si>
    <t>3月分水道料（回収金）</t>
    <rPh sb="1" eb="3">
      <t>ガツブン</t>
    </rPh>
    <rPh sb="3" eb="6">
      <t>スイドウリョウ</t>
    </rPh>
    <rPh sb="7" eb="10">
      <t>カイシュウキン</t>
    </rPh>
    <phoneticPr fontId="3"/>
  </si>
  <si>
    <t>3月分電気料（回収金）</t>
    <rPh sb="1" eb="3">
      <t>ガツブン</t>
    </rPh>
    <rPh sb="3" eb="6">
      <t>デンキリョウ</t>
    </rPh>
    <rPh sb="7" eb="10">
      <t>カイシュウキン</t>
    </rPh>
    <phoneticPr fontId="3"/>
  </si>
  <si>
    <t>ああ　ああ</t>
  </si>
  <si>
    <t>いい　いい</t>
  </si>
  <si>
    <t>株式会社GOOD</t>
    <phoneticPr fontId="3"/>
  </si>
  <si>
    <t>うう　うう</t>
  </si>
  <si>
    <t>製薬株式会社</t>
  </si>
  <si>
    <t>福祉サービスセンター</t>
    <phoneticPr fontId="3"/>
  </si>
  <si>
    <t>わわ　わわ</t>
  </si>
  <si>
    <t>一般社団法人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</si>
</sst>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8" fontId="2" fillId="0" borderId="0" xfId="1" applyFont="1">
      <alignment vertical="center"/>
    </xf>
    <xf numFmtId="176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38" fontId="2" fillId="0" borderId="12" xfId="1" applyFont="1" applyBorder="1">
      <alignment vertical="center"/>
    </xf>
    <xf numFmtId="38" fontId="2" fillId="0" borderId="13" xfId="1" applyFont="1" applyBorder="1">
      <alignment vertical="center"/>
    </xf>
    <xf numFmtId="0" fontId="2" fillId="0" borderId="14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2" fillId="0" borderId="18" xfId="0" applyFont="1" applyBorder="1" applyAlignment="1">
      <alignment horizontal="center" vertical="center"/>
    </xf>
    <xf numFmtId="176" fontId="2" fillId="0" borderId="18" xfId="0" applyNumberFormat="1" applyFont="1" applyBorder="1">
      <alignment vertical="center"/>
    </xf>
    <xf numFmtId="38" fontId="2" fillId="0" borderId="2" xfId="0" applyNumberFormat="1" applyFont="1" applyBorder="1">
      <alignment vertical="center"/>
    </xf>
    <xf numFmtId="38" fontId="2" fillId="0" borderId="3" xfId="0" applyNumberFormat="1" applyFont="1" applyBorder="1">
      <alignment vertical="center"/>
    </xf>
    <xf numFmtId="0" fontId="2" fillId="0" borderId="10" xfId="0" applyFont="1" applyBorder="1">
      <alignment vertical="center"/>
    </xf>
    <xf numFmtId="38" fontId="2" fillId="0" borderId="5" xfId="0" applyNumberFormat="1" applyFont="1" applyBorder="1">
      <alignment vertical="center"/>
    </xf>
    <xf numFmtId="38" fontId="2" fillId="0" borderId="14" xfId="0" applyNumberFormat="1" applyFont="1" applyBorder="1">
      <alignment vertical="center"/>
    </xf>
    <xf numFmtId="38" fontId="2" fillId="0" borderId="6" xfId="0" applyNumberFormat="1" applyFont="1" applyBorder="1">
      <alignment vertical="center"/>
    </xf>
    <xf numFmtId="38" fontId="2" fillId="0" borderId="8" xfId="0" applyNumberFormat="1" applyFont="1" applyBorder="1">
      <alignment vertical="center"/>
    </xf>
    <xf numFmtId="38" fontId="2" fillId="0" borderId="9" xfId="0" applyNumberFormat="1" applyFont="1" applyBorder="1">
      <alignment vertical="center"/>
    </xf>
    <xf numFmtId="0" fontId="2" fillId="0" borderId="24" xfId="0" applyFont="1" applyBorder="1">
      <alignment vertical="center"/>
    </xf>
    <xf numFmtId="0" fontId="2" fillId="0" borderId="25" xfId="0" applyFont="1" applyBorder="1">
      <alignment vertical="center"/>
    </xf>
    <xf numFmtId="38" fontId="2" fillId="0" borderId="15" xfId="0" applyNumberFormat="1" applyFont="1" applyBorder="1">
      <alignment vertical="center"/>
    </xf>
    <xf numFmtId="0" fontId="2" fillId="0" borderId="26" xfId="0" applyFont="1" applyBorder="1">
      <alignment vertical="center"/>
    </xf>
    <xf numFmtId="38" fontId="2" fillId="0" borderId="16" xfId="0" applyNumberFormat="1" applyFont="1" applyBorder="1">
      <alignment vertical="center"/>
    </xf>
    <xf numFmtId="38" fontId="2" fillId="0" borderId="17" xfId="0" applyNumberFormat="1" applyFont="1" applyBorder="1">
      <alignment vertical="center"/>
    </xf>
    <xf numFmtId="0" fontId="2" fillId="0" borderId="27" xfId="0" applyFont="1" applyBorder="1">
      <alignment vertical="center"/>
    </xf>
    <xf numFmtId="38" fontId="2" fillId="0" borderId="18" xfId="0" applyNumberFormat="1" applyFont="1" applyBorder="1">
      <alignment vertical="center"/>
    </xf>
    <xf numFmtId="38" fontId="2" fillId="0" borderId="19" xfId="0" applyNumberFormat="1" applyFont="1" applyBorder="1">
      <alignment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38" fontId="4" fillId="0" borderId="9" xfId="0" applyNumberFormat="1" applyFont="1" applyBorder="1">
      <alignment vertical="center"/>
    </xf>
    <xf numFmtId="38" fontId="4" fillId="0" borderId="17" xfId="0" applyNumberFormat="1" applyFont="1" applyBorder="1">
      <alignment vertical="center"/>
    </xf>
    <xf numFmtId="38" fontId="2" fillId="0" borderId="0" xfId="0" applyNumberFormat="1" applyFont="1">
      <alignment vertical="center"/>
    </xf>
    <xf numFmtId="0" fontId="2" fillId="0" borderId="28" xfId="0" applyFont="1" applyBorder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>
      <alignment vertical="center"/>
    </xf>
    <xf numFmtId="0" fontId="2" fillId="0" borderId="29" xfId="0" applyFont="1" applyBorder="1">
      <alignment vertical="center"/>
    </xf>
    <xf numFmtId="38" fontId="2" fillId="0" borderId="23" xfId="0" applyNumberFormat="1" applyFont="1" applyBorder="1">
      <alignment vertical="center"/>
    </xf>
    <xf numFmtId="38" fontId="2" fillId="0" borderId="27" xfId="0" applyNumberFormat="1" applyFont="1" applyBorder="1">
      <alignment vertical="center"/>
    </xf>
    <xf numFmtId="38" fontId="2" fillId="0" borderId="31" xfId="0" applyNumberFormat="1" applyFont="1" applyBorder="1">
      <alignment vertical="center"/>
    </xf>
    <xf numFmtId="38" fontId="2" fillId="0" borderId="32" xfId="0" applyNumberFormat="1" applyFont="1" applyBorder="1">
      <alignment vertical="center"/>
    </xf>
    <xf numFmtId="38" fontId="2" fillId="0" borderId="22" xfId="0" applyNumberFormat="1" applyFont="1" applyBorder="1">
      <alignment vertical="center"/>
    </xf>
    <xf numFmtId="38" fontId="2" fillId="0" borderId="3" xfId="0" applyNumberFormat="1" applyFont="1" applyBorder="1" applyAlignment="1">
      <alignment horizontal="center" vertical="center"/>
    </xf>
    <xf numFmtId="38" fontId="2" fillId="0" borderId="6" xfId="0" applyNumberFormat="1" applyFont="1" applyBorder="1" applyAlignment="1">
      <alignment horizontal="center" vertical="center"/>
    </xf>
    <xf numFmtId="38" fontId="2" fillId="0" borderId="37" xfId="0" applyNumberFormat="1" applyFont="1" applyBorder="1">
      <alignment vertical="center"/>
    </xf>
    <xf numFmtId="38" fontId="2" fillId="0" borderId="21" xfId="0" applyNumberFormat="1" applyFont="1" applyBorder="1" applyAlignment="1">
      <alignment horizontal="center" vertical="center"/>
    </xf>
    <xf numFmtId="38" fontId="2" fillId="0" borderId="33" xfId="0" applyNumberFormat="1" applyFont="1" applyBorder="1" applyAlignment="1">
      <alignment horizontal="center" vertical="center"/>
    </xf>
    <xf numFmtId="38" fontId="2" fillId="0" borderId="34" xfId="0" applyNumberFormat="1" applyFont="1" applyBorder="1" applyAlignment="1">
      <alignment horizontal="center" vertical="center"/>
    </xf>
    <xf numFmtId="38" fontId="2" fillId="0" borderId="35" xfId="0" applyNumberFormat="1" applyFont="1" applyBorder="1" applyAlignment="1">
      <alignment horizontal="center" vertical="center"/>
    </xf>
    <xf numFmtId="38" fontId="2" fillId="0" borderId="20" xfId="0" applyNumberFormat="1" applyFont="1" applyBorder="1" applyAlignment="1">
      <alignment horizontal="center" vertical="center"/>
    </xf>
    <xf numFmtId="38" fontId="2" fillId="0" borderId="36" xfId="0" applyNumberFormat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D1" workbookViewId="0">
      <selection activeCell="D39" sqref="D39"/>
    </sheetView>
  </sheetViews>
  <sheetFormatPr defaultRowHeight="15.75" x14ac:dyDescent="0.4"/>
  <cols>
    <col min="1" max="1" width="0" style="1" hidden="1"/>
    <col min="2" max="2" width="20.125" style="1" hidden="1" customWidth="1"/>
    <col min="3" max="3" width="0" style="1" hidden="1"/>
    <col min="4" max="4" width="34.75" style="1" customWidth="1"/>
    <col min="5" max="6" width="0" style="1" hidden="1"/>
    <col min="7" max="7" width="5.75" style="2" customWidth="1"/>
    <col min="8" max="8" width="9" style="4" customWidth="1"/>
    <col min="9" max="9" width="13.75" style="1" customWidth="1"/>
    <col min="10" max="10" width="8.75" style="3" customWidth="1"/>
    <col min="11" max="11" width="9.375" style="3" customWidth="1"/>
    <col min="12" max="14" width="9" style="3" hidden="1" customWidth="1"/>
    <col min="15" max="15" width="8.625" style="1" customWidth="1"/>
    <col min="16" max="26" width="9" style="1" hidden="1" customWidth="1"/>
    <col min="27" max="31" width="0" style="1" hidden="1"/>
    <col min="32" max="32" width="9" style="1" customWidth="1"/>
    <col min="33" max="16384" width="9" style="1"/>
  </cols>
  <sheetData>
    <row r="1" spans="1:24" ht="16.5" customHeight="1" thickBot="1" x14ac:dyDescent="0.45">
      <c r="D1" s="1" t="s">
        <v>0</v>
      </c>
    </row>
    <row r="2" spans="1:24" ht="16.5" customHeight="1" thickBot="1" x14ac:dyDescent="0.45">
      <c r="A2" s="5" t="s">
        <v>1</v>
      </c>
      <c r="B2" s="6" t="s">
        <v>2</v>
      </c>
      <c r="C2" s="31" t="s">
        <v>3</v>
      </c>
      <c r="D2" s="37" t="s">
        <v>4</v>
      </c>
      <c r="E2" s="18" t="s">
        <v>5</v>
      </c>
      <c r="F2" s="18" t="s">
        <v>6</v>
      </c>
      <c r="G2" s="19" t="s">
        <v>7</v>
      </c>
      <c r="H2" s="46" t="s">
        <v>8</v>
      </c>
      <c r="I2" s="18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/>
      <c r="O2" s="2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  <row r="3" spans="1:24" x14ac:dyDescent="0.4">
      <c r="A3" s="9">
        <v>777</v>
      </c>
      <c r="B3" s="10" t="s">
        <v>24</v>
      </c>
      <c r="C3" s="17">
        <v>14419</v>
      </c>
      <c r="D3" s="5" t="s">
        <v>85</v>
      </c>
      <c r="E3" s="6">
        <v>1</v>
      </c>
      <c r="F3" s="6" t="s">
        <v>26</v>
      </c>
      <c r="G3" s="7" t="s">
        <v>27</v>
      </c>
      <c r="H3" s="47" t="s">
        <v>28</v>
      </c>
      <c r="I3" s="6" t="s">
        <v>29</v>
      </c>
      <c r="J3" s="29">
        <v>12437</v>
      </c>
      <c r="K3" s="29">
        <v>1243</v>
      </c>
      <c r="L3" s="29">
        <v>0</v>
      </c>
      <c r="M3" s="29">
        <v>0</v>
      </c>
      <c r="N3" s="29"/>
      <c r="O3" s="64" t="s">
        <v>74</v>
      </c>
      <c r="P3" s="1">
        <v>12437</v>
      </c>
      <c r="Q3" s="1">
        <v>1243</v>
      </c>
      <c r="R3" s="1">
        <v>0</v>
      </c>
      <c r="S3" s="1">
        <v>0</v>
      </c>
      <c r="T3" s="1">
        <v>0</v>
      </c>
      <c r="U3" s="1">
        <v>13680</v>
      </c>
      <c r="V3" s="1" t="s">
        <v>30</v>
      </c>
      <c r="W3" s="1" t="s">
        <v>31</v>
      </c>
      <c r="X3" s="1" t="s">
        <v>32</v>
      </c>
    </row>
    <row r="4" spans="1:24" x14ac:dyDescent="0.4">
      <c r="A4" s="9">
        <v>777</v>
      </c>
      <c r="B4" s="10" t="s">
        <v>24</v>
      </c>
      <c r="C4" s="17">
        <v>14419</v>
      </c>
      <c r="D4" s="9" t="s">
        <v>85</v>
      </c>
      <c r="E4" s="10">
        <v>1</v>
      </c>
      <c r="F4" s="10" t="s">
        <v>26</v>
      </c>
      <c r="G4" s="11" t="s">
        <v>27</v>
      </c>
      <c r="H4" s="48" t="s">
        <v>28</v>
      </c>
      <c r="I4" s="10" t="s">
        <v>33</v>
      </c>
      <c r="J4" s="32">
        <v>29762</v>
      </c>
      <c r="K4" s="32">
        <v>2976</v>
      </c>
      <c r="L4" s="32">
        <v>0</v>
      </c>
      <c r="M4" s="32">
        <v>0</v>
      </c>
      <c r="N4" s="32"/>
      <c r="O4" s="65" t="s">
        <v>74</v>
      </c>
      <c r="P4" s="1">
        <v>29762</v>
      </c>
      <c r="Q4" s="1">
        <v>2976</v>
      </c>
      <c r="R4" s="1">
        <v>0</v>
      </c>
      <c r="S4" s="1">
        <v>0</v>
      </c>
      <c r="T4" s="1">
        <v>0</v>
      </c>
      <c r="U4" s="1">
        <v>32738</v>
      </c>
      <c r="V4" s="1" t="s">
        <v>30</v>
      </c>
      <c r="W4" s="1" t="s">
        <v>34</v>
      </c>
      <c r="X4" s="1" t="s">
        <v>32</v>
      </c>
    </row>
    <row r="5" spans="1:24" x14ac:dyDescent="0.4">
      <c r="A5" s="9">
        <v>777</v>
      </c>
      <c r="B5" s="10" t="s">
        <v>24</v>
      </c>
      <c r="C5" s="17">
        <v>14419</v>
      </c>
      <c r="D5" s="9" t="s">
        <v>85</v>
      </c>
      <c r="E5" s="10">
        <v>1</v>
      </c>
      <c r="F5" s="10" t="s">
        <v>26</v>
      </c>
      <c r="G5" s="11" t="s">
        <v>27</v>
      </c>
      <c r="H5" s="48" t="s">
        <v>28</v>
      </c>
      <c r="I5" s="10" t="s">
        <v>35</v>
      </c>
      <c r="J5" s="32">
        <v>1334</v>
      </c>
      <c r="K5" s="32">
        <v>133</v>
      </c>
      <c r="L5" s="32">
        <v>0</v>
      </c>
      <c r="M5" s="32">
        <v>0</v>
      </c>
      <c r="N5" s="32"/>
      <c r="O5" s="65" t="s">
        <v>74</v>
      </c>
      <c r="P5" s="1">
        <v>1334</v>
      </c>
      <c r="Q5" s="1">
        <v>133</v>
      </c>
      <c r="R5" s="1">
        <v>0</v>
      </c>
      <c r="S5" s="1">
        <v>0</v>
      </c>
      <c r="T5" s="1">
        <v>0</v>
      </c>
      <c r="U5" s="1">
        <v>1467</v>
      </c>
      <c r="V5" s="1" t="s">
        <v>30</v>
      </c>
      <c r="W5" s="1" t="s">
        <v>36</v>
      </c>
      <c r="X5" s="1" t="s">
        <v>32</v>
      </c>
    </row>
    <row r="6" spans="1:24" ht="16.5" customHeight="1" thickBot="1" x14ac:dyDescent="0.45">
      <c r="A6" s="9"/>
      <c r="B6" s="10"/>
      <c r="C6" s="17"/>
      <c r="D6" s="13"/>
      <c r="E6" s="14"/>
      <c r="F6" s="14" t="s">
        <v>37</v>
      </c>
      <c r="G6" s="15"/>
      <c r="H6" s="49"/>
      <c r="I6" s="14"/>
      <c r="J6" s="35">
        <v>43533</v>
      </c>
      <c r="K6" s="35">
        <v>4352</v>
      </c>
      <c r="L6" s="35">
        <v>0</v>
      </c>
      <c r="M6" s="35">
        <v>0</v>
      </c>
      <c r="N6" s="35"/>
      <c r="O6" s="36">
        <f t="shared" ref="O6:O45" si="0">L6+M6</f>
        <v>0</v>
      </c>
      <c r="P6" s="1">
        <v>43533</v>
      </c>
      <c r="Q6" s="1">
        <v>4352</v>
      </c>
      <c r="R6" s="1">
        <v>0</v>
      </c>
      <c r="S6" s="1">
        <v>0</v>
      </c>
      <c r="T6" s="1">
        <v>0</v>
      </c>
      <c r="U6" s="1">
        <v>47885</v>
      </c>
    </row>
    <row r="7" spans="1:24" x14ac:dyDescent="0.4">
      <c r="A7" s="9">
        <v>777</v>
      </c>
      <c r="B7" s="10" t="s">
        <v>24</v>
      </c>
      <c r="C7" s="17">
        <v>14421</v>
      </c>
      <c r="D7" s="38" t="s">
        <v>86</v>
      </c>
      <c r="E7" s="22">
        <v>1</v>
      </c>
      <c r="F7" s="22" t="s">
        <v>26</v>
      </c>
      <c r="G7" s="23" t="s">
        <v>38</v>
      </c>
      <c r="H7" s="50" t="s">
        <v>28</v>
      </c>
      <c r="I7" s="22" t="s">
        <v>29</v>
      </c>
      <c r="J7" s="33">
        <v>1244</v>
      </c>
      <c r="K7" s="33">
        <v>124</v>
      </c>
      <c r="L7" s="33">
        <v>1244</v>
      </c>
      <c r="M7" s="33">
        <v>124</v>
      </c>
      <c r="N7" s="33"/>
      <c r="O7" s="39">
        <f t="shared" si="0"/>
        <v>1368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 t="s">
        <v>30</v>
      </c>
      <c r="W7" s="1" t="s">
        <v>39</v>
      </c>
      <c r="X7" s="1" t="s">
        <v>39</v>
      </c>
    </row>
    <row r="8" spans="1:24" x14ac:dyDescent="0.4">
      <c r="A8" s="9">
        <v>777</v>
      </c>
      <c r="B8" s="10" t="s">
        <v>24</v>
      </c>
      <c r="C8" s="17">
        <v>14421</v>
      </c>
      <c r="D8" s="9" t="s">
        <v>86</v>
      </c>
      <c r="E8" s="10">
        <v>1</v>
      </c>
      <c r="F8" s="10" t="s">
        <v>26</v>
      </c>
      <c r="G8" s="11" t="s">
        <v>38</v>
      </c>
      <c r="H8" s="48" t="s">
        <v>28</v>
      </c>
      <c r="I8" s="10" t="s">
        <v>33</v>
      </c>
      <c r="J8" s="32">
        <v>11270</v>
      </c>
      <c r="K8" s="32">
        <v>1127</v>
      </c>
      <c r="L8" s="32">
        <v>11270</v>
      </c>
      <c r="M8" s="32">
        <v>1127</v>
      </c>
      <c r="N8" s="32"/>
      <c r="O8" s="34">
        <f t="shared" si="0"/>
        <v>12397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 t="s">
        <v>30</v>
      </c>
      <c r="W8" s="1" t="s">
        <v>40</v>
      </c>
      <c r="X8" s="1" t="s">
        <v>40</v>
      </c>
    </row>
    <row r="9" spans="1:24" x14ac:dyDescent="0.4">
      <c r="A9" s="9">
        <v>777</v>
      </c>
      <c r="B9" s="10" t="s">
        <v>24</v>
      </c>
      <c r="C9" s="17">
        <v>14421</v>
      </c>
      <c r="D9" s="9" t="s">
        <v>86</v>
      </c>
      <c r="E9" s="10">
        <v>1</v>
      </c>
      <c r="F9" s="10" t="s">
        <v>26</v>
      </c>
      <c r="G9" s="11" t="s">
        <v>38</v>
      </c>
      <c r="H9" s="48" t="s">
        <v>28</v>
      </c>
      <c r="I9" s="10" t="s">
        <v>35</v>
      </c>
      <c r="J9" s="32">
        <v>690</v>
      </c>
      <c r="K9" s="32">
        <v>69</v>
      </c>
      <c r="L9" s="32">
        <v>690</v>
      </c>
      <c r="M9" s="32">
        <v>69</v>
      </c>
      <c r="N9" s="32"/>
      <c r="O9" s="34">
        <f t="shared" si="0"/>
        <v>759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 t="s">
        <v>30</v>
      </c>
      <c r="W9" s="1" t="s">
        <v>41</v>
      </c>
      <c r="X9" s="1" t="s">
        <v>41</v>
      </c>
    </row>
    <row r="10" spans="1:24" x14ac:dyDescent="0.4">
      <c r="A10" s="9">
        <v>777</v>
      </c>
      <c r="B10" s="10" t="s">
        <v>24</v>
      </c>
      <c r="C10" s="17">
        <v>14421</v>
      </c>
      <c r="D10" s="9" t="s">
        <v>86</v>
      </c>
      <c r="E10" s="10">
        <v>1</v>
      </c>
      <c r="F10" s="10" t="s">
        <v>26</v>
      </c>
      <c r="G10" s="11" t="s">
        <v>42</v>
      </c>
      <c r="H10" s="48" t="s">
        <v>28</v>
      </c>
      <c r="I10" s="10" t="s">
        <v>33</v>
      </c>
      <c r="J10" s="32">
        <v>58604</v>
      </c>
      <c r="K10" s="32">
        <v>5860</v>
      </c>
      <c r="L10" s="32">
        <v>58604</v>
      </c>
      <c r="M10" s="32">
        <v>5860</v>
      </c>
      <c r="N10" s="32"/>
      <c r="O10" s="34">
        <f t="shared" si="0"/>
        <v>64464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 t="s">
        <v>30</v>
      </c>
      <c r="W10" s="1" t="s">
        <v>43</v>
      </c>
      <c r="X10" s="1" t="s">
        <v>43</v>
      </c>
    </row>
    <row r="11" spans="1:24" x14ac:dyDescent="0.4">
      <c r="A11" s="9">
        <v>777</v>
      </c>
      <c r="B11" s="10" t="s">
        <v>24</v>
      </c>
      <c r="C11" s="17">
        <v>14421</v>
      </c>
      <c r="D11" s="9" t="s">
        <v>86</v>
      </c>
      <c r="E11" s="10">
        <v>1</v>
      </c>
      <c r="F11" s="10" t="s">
        <v>26</v>
      </c>
      <c r="G11" s="11" t="s">
        <v>42</v>
      </c>
      <c r="H11" s="48" t="s">
        <v>28</v>
      </c>
      <c r="I11" s="10" t="s">
        <v>35</v>
      </c>
      <c r="J11" s="32">
        <v>230</v>
      </c>
      <c r="K11" s="32">
        <v>23</v>
      </c>
      <c r="L11" s="32">
        <v>230</v>
      </c>
      <c r="M11" s="32">
        <v>23</v>
      </c>
      <c r="N11" s="32"/>
      <c r="O11" s="34">
        <f t="shared" si="0"/>
        <v>253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 t="s">
        <v>30</v>
      </c>
      <c r="W11" s="1" t="s">
        <v>44</v>
      </c>
      <c r="X11" s="1" t="s">
        <v>44</v>
      </c>
    </row>
    <row r="12" spans="1:24" ht="16.5" customHeight="1" thickBot="1" x14ac:dyDescent="0.45">
      <c r="A12" s="9"/>
      <c r="B12" s="10"/>
      <c r="C12" s="17"/>
      <c r="D12" s="40"/>
      <c r="E12" s="24"/>
      <c r="F12" s="24" t="s">
        <v>37</v>
      </c>
      <c r="G12" s="25"/>
      <c r="H12" s="51"/>
      <c r="I12" s="24"/>
      <c r="J12" s="41">
        <v>72038</v>
      </c>
      <c r="K12" s="41">
        <v>7203</v>
      </c>
      <c r="L12" s="41">
        <v>72038</v>
      </c>
      <c r="M12" s="41">
        <v>7203</v>
      </c>
      <c r="N12" s="41"/>
      <c r="O12" s="53">
        <f t="shared" si="0"/>
        <v>79241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4" x14ac:dyDescent="0.4">
      <c r="A13" s="9">
        <v>777</v>
      </c>
      <c r="B13" s="10" t="s">
        <v>24</v>
      </c>
      <c r="C13" s="17">
        <v>14411</v>
      </c>
      <c r="D13" s="5" t="s">
        <v>87</v>
      </c>
      <c r="E13" s="6">
        <v>1</v>
      </c>
      <c r="F13" s="6" t="s">
        <v>26</v>
      </c>
      <c r="G13" s="7" t="s">
        <v>45</v>
      </c>
      <c r="H13" s="47" t="s">
        <v>28</v>
      </c>
      <c r="I13" s="6" t="s">
        <v>33</v>
      </c>
      <c r="J13" s="29">
        <v>6762</v>
      </c>
      <c r="K13" s="29">
        <v>676</v>
      </c>
      <c r="L13" s="29">
        <v>6762</v>
      </c>
      <c r="M13" s="29">
        <v>676</v>
      </c>
      <c r="N13" s="29"/>
      <c r="O13" s="30">
        <f t="shared" si="0"/>
        <v>7438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 t="s">
        <v>30</v>
      </c>
      <c r="W13" s="1" t="s">
        <v>46</v>
      </c>
      <c r="X13" s="1" t="s">
        <v>46</v>
      </c>
    </row>
    <row r="14" spans="1:24" x14ac:dyDescent="0.4">
      <c r="A14" s="9">
        <v>777</v>
      </c>
      <c r="B14" s="10" t="s">
        <v>24</v>
      </c>
      <c r="C14" s="17">
        <v>14411</v>
      </c>
      <c r="D14" s="9" t="s">
        <v>87</v>
      </c>
      <c r="E14" s="10">
        <v>1</v>
      </c>
      <c r="F14" s="10" t="s">
        <v>26</v>
      </c>
      <c r="G14" s="11" t="s">
        <v>45</v>
      </c>
      <c r="H14" s="48" t="s">
        <v>28</v>
      </c>
      <c r="I14" s="10" t="s">
        <v>35</v>
      </c>
      <c r="J14" s="32">
        <v>7728</v>
      </c>
      <c r="K14" s="32">
        <v>772</v>
      </c>
      <c r="L14" s="32">
        <v>7728</v>
      </c>
      <c r="M14" s="32">
        <v>772</v>
      </c>
      <c r="N14" s="32"/>
      <c r="O14" s="34">
        <f t="shared" si="0"/>
        <v>8500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 t="s">
        <v>30</v>
      </c>
      <c r="W14" s="1" t="s">
        <v>47</v>
      </c>
      <c r="X14" s="1" t="s">
        <v>47</v>
      </c>
    </row>
    <row r="15" spans="1:24" ht="16.5" customHeight="1" thickBot="1" x14ac:dyDescent="0.45">
      <c r="A15" s="9"/>
      <c r="B15" s="10"/>
      <c r="C15" s="17"/>
      <c r="D15" s="13"/>
      <c r="E15" s="14"/>
      <c r="F15" s="14" t="s">
        <v>37</v>
      </c>
      <c r="G15" s="15"/>
      <c r="H15" s="49"/>
      <c r="I15" s="14"/>
      <c r="J15" s="35">
        <v>14490</v>
      </c>
      <c r="K15" s="35">
        <v>1448</v>
      </c>
      <c r="L15" s="35">
        <v>14490</v>
      </c>
      <c r="M15" s="35">
        <v>1448</v>
      </c>
      <c r="N15" s="35"/>
      <c r="O15" s="52">
        <f t="shared" si="0"/>
        <v>15938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4" x14ac:dyDescent="0.4">
      <c r="A16" s="9">
        <v>777</v>
      </c>
      <c r="B16" s="10" t="s">
        <v>24</v>
      </c>
      <c r="C16" s="17">
        <v>14412</v>
      </c>
      <c r="D16" s="5" t="s">
        <v>88</v>
      </c>
      <c r="E16" s="22">
        <v>1</v>
      </c>
      <c r="F16" s="22" t="s">
        <v>26</v>
      </c>
      <c r="G16" s="23" t="s">
        <v>48</v>
      </c>
      <c r="H16" s="50" t="s">
        <v>28</v>
      </c>
      <c r="I16" s="22" t="s">
        <v>33</v>
      </c>
      <c r="J16" s="33">
        <v>1794</v>
      </c>
      <c r="K16" s="33">
        <v>179</v>
      </c>
      <c r="L16" s="33">
        <v>1794</v>
      </c>
      <c r="M16" s="33">
        <v>179</v>
      </c>
      <c r="N16" s="33"/>
      <c r="O16" s="39">
        <f t="shared" si="0"/>
        <v>1973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 t="s">
        <v>30</v>
      </c>
      <c r="W16" s="1" t="s">
        <v>49</v>
      </c>
      <c r="X16" s="1" t="s">
        <v>49</v>
      </c>
    </row>
    <row r="17" spans="1:24" x14ac:dyDescent="0.4">
      <c r="A17" s="9">
        <v>777</v>
      </c>
      <c r="B17" s="10" t="s">
        <v>24</v>
      </c>
      <c r="C17" s="17">
        <v>14412</v>
      </c>
      <c r="D17" s="9" t="s">
        <v>88</v>
      </c>
      <c r="E17" s="10">
        <v>1</v>
      </c>
      <c r="F17" s="10" t="s">
        <v>26</v>
      </c>
      <c r="G17" s="11" t="s">
        <v>48</v>
      </c>
      <c r="H17" s="48" t="s">
        <v>28</v>
      </c>
      <c r="I17" s="10" t="s">
        <v>35</v>
      </c>
      <c r="J17" s="32">
        <v>2438</v>
      </c>
      <c r="K17" s="32">
        <v>243</v>
      </c>
      <c r="L17" s="32">
        <v>2438</v>
      </c>
      <c r="M17" s="32">
        <v>243</v>
      </c>
      <c r="N17" s="32"/>
      <c r="O17" s="34">
        <f t="shared" si="0"/>
        <v>2681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 t="s">
        <v>30</v>
      </c>
      <c r="W17" s="1" t="s">
        <v>50</v>
      </c>
      <c r="X17" s="1" t="s">
        <v>50</v>
      </c>
    </row>
    <row r="18" spans="1:24" ht="16.5" customHeight="1" thickBot="1" x14ac:dyDescent="0.45">
      <c r="A18" s="9"/>
      <c r="B18" s="10"/>
      <c r="C18" s="17"/>
      <c r="D18" s="40"/>
      <c r="E18" s="24"/>
      <c r="F18" s="24" t="s">
        <v>37</v>
      </c>
      <c r="G18" s="25"/>
      <c r="H18" s="51"/>
      <c r="I18" s="24"/>
      <c r="J18" s="41">
        <v>4232</v>
      </c>
      <c r="K18" s="41">
        <v>422</v>
      </c>
      <c r="L18" s="41">
        <v>4232</v>
      </c>
      <c r="M18" s="41">
        <v>422</v>
      </c>
      <c r="N18" s="41"/>
      <c r="O18" s="53">
        <f t="shared" si="0"/>
        <v>4654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4" x14ac:dyDescent="0.4">
      <c r="A19" s="9">
        <v>777</v>
      </c>
      <c r="B19" s="10" t="s">
        <v>24</v>
      </c>
      <c r="C19" s="17">
        <v>14414</v>
      </c>
      <c r="D19" s="5" t="s">
        <v>89</v>
      </c>
      <c r="E19" s="6">
        <v>1</v>
      </c>
      <c r="F19" s="6" t="s">
        <v>26</v>
      </c>
      <c r="G19" s="7" t="s">
        <v>51</v>
      </c>
      <c r="H19" s="47" t="s">
        <v>28</v>
      </c>
      <c r="I19" s="6" t="s">
        <v>33</v>
      </c>
      <c r="J19" s="29">
        <v>3312</v>
      </c>
      <c r="K19" s="29">
        <v>331</v>
      </c>
      <c r="L19" s="29">
        <v>3312</v>
      </c>
      <c r="M19" s="29">
        <v>331</v>
      </c>
      <c r="N19" s="29"/>
      <c r="O19" s="30">
        <f t="shared" si="0"/>
        <v>3643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 t="s">
        <v>30</v>
      </c>
      <c r="W19" s="1" t="s">
        <v>52</v>
      </c>
      <c r="X19" s="1" t="s">
        <v>52</v>
      </c>
    </row>
    <row r="20" spans="1:24" x14ac:dyDescent="0.4">
      <c r="A20" s="9">
        <v>777</v>
      </c>
      <c r="B20" s="10" t="s">
        <v>24</v>
      </c>
      <c r="C20" s="17">
        <v>14414</v>
      </c>
      <c r="D20" s="9" t="s">
        <v>89</v>
      </c>
      <c r="E20" s="10">
        <v>1</v>
      </c>
      <c r="F20" s="10" t="s">
        <v>26</v>
      </c>
      <c r="G20" s="11" t="s">
        <v>51</v>
      </c>
      <c r="H20" s="48" t="s">
        <v>28</v>
      </c>
      <c r="I20" s="10" t="s">
        <v>35</v>
      </c>
      <c r="J20" s="32">
        <v>1932</v>
      </c>
      <c r="K20" s="32">
        <v>193</v>
      </c>
      <c r="L20" s="32">
        <v>1932</v>
      </c>
      <c r="M20" s="32">
        <v>193</v>
      </c>
      <c r="N20" s="32"/>
      <c r="O20" s="34">
        <f t="shared" si="0"/>
        <v>2125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 t="s">
        <v>30</v>
      </c>
      <c r="W20" s="1" t="s">
        <v>53</v>
      </c>
      <c r="X20" s="1" t="s">
        <v>53</v>
      </c>
    </row>
    <row r="21" spans="1:24" ht="16.5" customHeight="1" thickBot="1" x14ac:dyDescent="0.45">
      <c r="A21" s="9"/>
      <c r="B21" s="10"/>
      <c r="C21" s="17"/>
      <c r="D21" s="13"/>
      <c r="E21" s="14"/>
      <c r="F21" s="14" t="s">
        <v>37</v>
      </c>
      <c r="G21" s="15"/>
      <c r="H21" s="49"/>
      <c r="I21" s="14"/>
      <c r="J21" s="35">
        <v>5244</v>
      </c>
      <c r="K21" s="35">
        <v>524</v>
      </c>
      <c r="L21" s="35">
        <v>5244</v>
      </c>
      <c r="M21" s="35">
        <v>524</v>
      </c>
      <c r="N21" s="35"/>
      <c r="O21" s="52">
        <f t="shared" si="0"/>
        <v>5768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4" x14ac:dyDescent="0.4">
      <c r="A22" s="9">
        <v>777</v>
      </c>
      <c r="B22" s="10" t="s">
        <v>24</v>
      </c>
      <c r="C22" s="17">
        <v>14797</v>
      </c>
      <c r="D22" s="38" t="s">
        <v>90</v>
      </c>
      <c r="E22" s="22">
        <v>1</v>
      </c>
      <c r="F22" s="22" t="s">
        <v>26</v>
      </c>
      <c r="G22" s="23" t="s">
        <v>54</v>
      </c>
      <c r="H22" s="50" t="s">
        <v>28</v>
      </c>
      <c r="I22" s="22" t="s">
        <v>33</v>
      </c>
      <c r="J22" s="33">
        <v>21160</v>
      </c>
      <c r="K22" s="33">
        <v>2116</v>
      </c>
      <c r="L22" s="33">
        <v>21160</v>
      </c>
      <c r="M22" s="33">
        <v>2116</v>
      </c>
      <c r="N22" s="33"/>
      <c r="O22" s="39">
        <f t="shared" si="0"/>
        <v>23276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 t="s">
        <v>30</v>
      </c>
      <c r="W22" s="1" t="s">
        <v>55</v>
      </c>
      <c r="X22" s="1" t="s">
        <v>55</v>
      </c>
    </row>
    <row r="23" spans="1:24" x14ac:dyDescent="0.4">
      <c r="A23" s="9">
        <v>777</v>
      </c>
      <c r="B23" s="10" t="s">
        <v>24</v>
      </c>
      <c r="C23" s="17">
        <v>14797</v>
      </c>
      <c r="D23" s="9" t="s">
        <v>90</v>
      </c>
      <c r="E23" s="10">
        <v>1</v>
      </c>
      <c r="F23" s="10" t="s">
        <v>26</v>
      </c>
      <c r="G23" s="11" t="s">
        <v>54</v>
      </c>
      <c r="H23" s="48" t="s">
        <v>28</v>
      </c>
      <c r="I23" s="10" t="s">
        <v>35</v>
      </c>
      <c r="J23" s="32">
        <v>15364</v>
      </c>
      <c r="K23" s="32">
        <v>1536</v>
      </c>
      <c r="L23" s="32">
        <v>15364</v>
      </c>
      <c r="M23" s="32">
        <v>1536</v>
      </c>
      <c r="N23" s="32"/>
      <c r="O23" s="34">
        <f t="shared" si="0"/>
        <v>16900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 t="s">
        <v>30</v>
      </c>
      <c r="W23" s="1" t="s">
        <v>56</v>
      </c>
      <c r="X23" s="1" t="s">
        <v>56</v>
      </c>
    </row>
    <row r="24" spans="1:24" ht="16.5" customHeight="1" thickBot="1" x14ac:dyDescent="0.45">
      <c r="A24" s="9"/>
      <c r="B24" s="10"/>
      <c r="C24" s="17"/>
      <c r="D24" s="40"/>
      <c r="E24" s="24"/>
      <c r="F24" s="24" t="s">
        <v>37</v>
      </c>
      <c r="G24" s="25"/>
      <c r="H24" s="51"/>
      <c r="I24" s="24"/>
      <c r="J24" s="41">
        <v>36524</v>
      </c>
      <c r="K24" s="41">
        <v>3652</v>
      </c>
      <c r="L24" s="41">
        <v>36524</v>
      </c>
      <c r="M24" s="41">
        <v>3652</v>
      </c>
      <c r="N24" s="41"/>
      <c r="O24" s="53">
        <f t="shared" si="0"/>
        <v>40176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4" x14ac:dyDescent="0.4">
      <c r="A25" s="9">
        <v>777</v>
      </c>
      <c r="B25" s="10" t="s">
        <v>24</v>
      </c>
      <c r="C25" s="17">
        <v>14417</v>
      </c>
      <c r="D25" s="5" t="s">
        <v>88</v>
      </c>
      <c r="E25" s="6">
        <v>1</v>
      </c>
      <c r="F25" s="6" t="s">
        <v>26</v>
      </c>
      <c r="G25" s="7" t="s">
        <v>57</v>
      </c>
      <c r="H25" s="47" t="s">
        <v>28</v>
      </c>
      <c r="I25" s="6" t="s">
        <v>33</v>
      </c>
      <c r="J25" s="29">
        <v>11362</v>
      </c>
      <c r="K25" s="29">
        <v>1136</v>
      </c>
      <c r="L25" s="29">
        <v>11362</v>
      </c>
      <c r="M25" s="29">
        <v>1136</v>
      </c>
      <c r="N25" s="29"/>
      <c r="O25" s="30">
        <f t="shared" si="0"/>
        <v>12498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 t="s">
        <v>30</v>
      </c>
      <c r="W25" s="1" t="s">
        <v>58</v>
      </c>
      <c r="X25" s="1" t="s">
        <v>58</v>
      </c>
    </row>
    <row r="26" spans="1:24" x14ac:dyDescent="0.4">
      <c r="A26" s="9">
        <v>777</v>
      </c>
      <c r="B26" s="10" t="s">
        <v>24</v>
      </c>
      <c r="C26" s="17">
        <v>14417</v>
      </c>
      <c r="D26" s="9" t="s">
        <v>88</v>
      </c>
      <c r="E26" s="10">
        <v>1</v>
      </c>
      <c r="F26" s="10" t="s">
        <v>26</v>
      </c>
      <c r="G26" s="11" t="s">
        <v>57</v>
      </c>
      <c r="H26" s="48" t="s">
        <v>28</v>
      </c>
      <c r="I26" s="10" t="s">
        <v>35</v>
      </c>
      <c r="J26" s="32">
        <v>3542</v>
      </c>
      <c r="K26" s="32">
        <v>354</v>
      </c>
      <c r="L26" s="32">
        <v>3542</v>
      </c>
      <c r="M26" s="32">
        <v>354</v>
      </c>
      <c r="N26" s="32"/>
      <c r="O26" s="34">
        <f t="shared" si="0"/>
        <v>3896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 t="s">
        <v>30</v>
      </c>
      <c r="W26" s="1" t="s">
        <v>59</v>
      </c>
      <c r="X26" s="1" t="s">
        <v>59</v>
      </c>
    </row>
    <row r="27" spans="1:24" ht="16.5" customHeight="1" thickBot="1" x14ac:dyDescent="0.45">
      <c r="A27" s="9"/>
      <c r="B27" s="10"/>
      <c r="C27" s="17"/>
      <c r="D27" s="13"/>
      <c r="E27" s="14"/>
      <c r="F27" s="14" t="s">
        <v>37</v>
      </c>
      <c r="G27" s="15"/>
      <c r="H27" s="49"/>
      <c r="I27" s="14"/>
      <c r="J27" s="35">
        <v>14904</v>
      </c>
      <c r="K27" s="35">
        <v>1490</v>
      </c>
      <c r="L27" s="35">
        <v>14904</v>
      </c>
      <c r="M27" s="35">
        <v>1490</v>
      </c>
      <c r="N27" s="35"/>
      <c r="O27" s="52">
        <f t="shared" si="0"/>
        <v>16394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4" x14ac:dyDescent="0.4">
      <c r="A28" s="9">
        <v>777</v>
      </c>
      <c r="B28" s="10" t="s">
        <v>24</v>
      </c>
      <c r="C28" s="17">
        <v>14424</v>
      </c>
      <c r="D28" s="38" t="s">
        <v>91</v>
      </c>
      <c r="E28" s="22">
        <v>1</v>
      </c>
      <c r="F28" s="22" t="s">
        <v>26</v>
      </c>
      <c r="G28" s="23" t="s">
        <v>60</v>
      </c>
      <c r="H28" s="50" t="s">
        <v>28</v>
      </c>
      <c r="I28" s="22" t="s">
        <v>33</v>
      </c>
      <c r="J28" s="33">
        <v>598</v>
      </c>
      <c r="K28" s="33">
        <v>59</v>
      </c>
      <c r="L28" s="33">
        <v>598</v>
      </c>
      <c r="M28" s="33">
        <v>59</v>
      </c>
      <c r="N28" s="33"/>
      <c r="O28" s="39">
        <f t="shared" si="0"/>
        <v>657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 t="s">
        <v>30</v>
      </c>
      <c r="W28" s="1" t="s">
        <v>61</v>
      </c>
      <c r="X28" s="1" t="s">
        <v>61</v>
      </c>
    </row>
    <row r="29" spans="1:24" x14ac:dyDescent="0.4">
      <c r="A29" s="9">
        <v>777</v>
      </c>
      <c r="B29" s="10" t="s">
        <v>24</v>
      </c>
      <c r="C29" s="17">
        <v>14424</v>
      </c>
      <c r="D29" s="9" t="s">
        <v>91</v>
      </c>
      <c r="E29" s="10">
        <v>1</v>
      </c>
      <c r="F29" s="10" t="s">
        <v>26</v>
      </c>
      <c r="G29" s="11" t="s">
        <v>60</v>
      </c>
      <c r="H29" s="48" t="s">
        <v>28</v>
      </c>
      <c r="I29" s="10" t="s">
        <v>35</v>
      </c>
      <c r="J29" s="32">
        <v>2852</v>
      </c>
      <c r="K29" s="32">
        <v>285</v>
      </c>
      <c r="L29" s="32">
        <v>2852</v>
      </c>
      <c r="M29" s="32">
        <v>285</v>
      </c>
      <c r="N29" s="32"/>
      <c r="O29" s="34">
        <f t="shared" si="0"/>
        <v>3137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 t="s">
        <v>30</v>
      </c>
      <c r="W29" s="1" t="s">
        <v>62</v>
      </c>
      <c r="X29" s="1" t="s">
        <v>62</v>
      </c>
    </row>
    <row r="30" spans="1:24" ht="16.5" customHeight="1" thickBot="1" x14ac:dyDescent="0.45">
      <c r="A30" s="9"/>
      <c r="B30" s="10"/>
      <c r="C30" s="17"/>
      <c r="D30" s="40"/>
      <c r="E30" s="24"/>
      <c r="F30" s="24" t="s">
        <v>37</v>
      </c>
      <c r="G30" s="25"/>
      <c r="H30" s="51"/>
      <c r="I30" s="24"/>
      <c r="J30" s="41">
        <v>3450</v>
      </c>
      <c r="K30" s="41">
        <v>344</v>
      </c>
      <c r="L30" s="41">
        <v>3450</v>
      </c>
      <c r="M30" s="41">
        <v>344</v>
      </c>
      <c r="N30" s="41"/>
      <c r="O30" s="53">
        <f t="shared" si="0"/>
        <v>3794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4" x14ac:dyDescent="0.4">
      <c r="A31" s="9">
        <v>777</v>
      </c>
      <c r="B31" s="10" t="s">
        <v>24</v>
      </c>
      <c r="C31" s="17">
        <v>14429</v>
      </c>
      <c r="D31" s="5" t="s">
        <v>92</v>
      </c>
      <c r="E31" s="6">
        <v>1</v>
      </c>
      <c r="F31" s="6" t="s">
        <v>26</v>
      </c>
      <c r="G31" s="7" t="s">
        <v>63</v>
      </c>
      <c r="H31" s="47" t="s">
        <v>28</v>
      </c>
      <c r="I31" s="6" t="s">
        <v>33</v>
      </c>
      <c r="J31" s="29">
        <v>14536</v>
      </c>
      <c r="K31" s="29">
        <v>1453</v>
      </c>
      <c r="L31" s="29">
        <v>14536</v>
      </c>
      <c r="M31" s="29">
        <v>1453</v>
      </c>
      <c r="N31" s="29"/>
      <c r="O31" s="30">
        <f t="shared" si="0"/>
        <v>15989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 t="s">
        <v>30</v>
      </c>
      <c r="W31" s="1" t="s">
        <v>64</v>
      </c>
      <c r="X31" s="1" t="s">
        <v>64</v>
      </c>
    </row>
    <row r="32" spans="1:24" x14ac:dyDescent="0.4">
      <c r="A32" s="9">
        <v>777</v>
      </c>
      <c r="B32" s="10" t="s">
        <v>24</v>
      </c>
      <c r="C32" s="17">
        <v>14429</v>
      </c>
      <c r="D32" s="9" t="s">
        <v>92</v>
      </c>
      <c r="E32" s="10">
        <v>1</v>
      </c>
      <c r="F32" s="10" t="s">
        <v>26</v>
      </c>
      <c r="G32" s="11" t="s">
        <v>63</v>
      </c>
      <c r="H32" s="48" t="s">
        <v>28</v>
      </c>
      <c r="I32" s="10" t="s">
        <v>35</v>
      </c>
      <c r="J32" s="32">
        <v>5980</v>
      </c>
      <c r="K32" s="32">
        <v>598</v>
      </c>
      <c r="L32" s="32">
        <v>5980</v>
      </c>
      <c r="M32" s="32">
        <v>598</v>
      </c>
      <c r="N32" s="32"/>
      <c r="O32" s="34">
        <f t="shared" si="0"/>
        <v>6578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 t="s">
        <v>30</v>
      </c>
      <c r="W32" s="1" t="s">
        <v>65</v>
      </c>
      <c r="X32" s="1" t="s">
        <v>65</v>
      </c>
    </row>
    <row r="33" spans="1:24" ht="16.5" customHeight="1" thickBot="1" x14ac:dyDescent="0.45">
      <c r="A33" s="9"/>
      <c r="B33" s="10"/>
      <c r="C33" s="17"/>
      <c r="D33" s="13"/>
      <c r="E33" s="14"/>
      <c r="F33" s="14" t="s">
        <v>37</v>
      </c>
      <c r="G33" s="15"/>
      <c r="H33" s="49"/>
      <c r="I33" s="14"/>
      <c r="J33" s="35">
        <v>20516</v>
      </c>
      <c r="K33" s="35">
        <v>2051</v>
      </c>
      <c r="L33" s="35">
        <v>20516</v>
      </c>
      <c r="M33" s="35">
        <v>2051</v>
      </c>
      <c r="N33" s="35"/>
      <c r="O33" s="52">
        <f t="shared" si="0"/>
        <v>22567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4" ht="16.5" customHeight="1" thickBot="1" x14ac:dyDescent="0.45">
      <c r="A34" s="9"/>
      <c r="B34" s="10"/>
      <c r="C34" s="17"/>
      <c r="D34" s="43"/>
      <c r="E34" s="26"/>
      <c r="F34" s="26" t="s">
        <v>66</v>
      </c>
      <c r="G34" s="27"/>
      <c r="H34" s="28"/>
      <c r="I34" s="26"/>
      <c r="J34" s="44">
        <v>214931</v>
      </c>
      <c r="K34" s="44">
        <v>21486</v>
      </c>
      <c r="L34" s="44">
        <v>171398</v>
      </c>
      <c r="M34" s="44">
        <v>17134</v>
      </c>
      <c r="N34" s="44"/>
      <c r="O34" s="45">
        <f>L34+M34</f>
        <v>188532</v>
      </c>
      <c r="P34" s="1">
        <v>43533</v>
      </c>
      <c r="Q34" s="1">
        <v>4352</v>
      </c>
      <c r="R34" s="1">
        <v>0</v>
      </c>
      <c r="S34" s="1">
        <v>0</v>
      </c>
      <c r="T34" s="1">
        <v>0</v>
      </c>
      <c r="U34" s="1">
        <v>47885</v>
      </c>
    </row>
    <row r="35" spans="1:24" ht="16.5" customHeight="1" thickBot="1" x14ac:dyDescent="0.45">
      <c r="A35" s="9"/>
      <c r="B35" s="10"/>
      <c r="C35" s="17"/>
      <c r="D35" s="58"/>
      <c r="E35" s="57"/>
      <c r="F35" s="55"/>
      <c r="G35" s="56"/>
      <c r="J35" s="54"/>
      <c r="K35" s="61" t="s">
        <v>72</v>
      </c>
      <c r="L35" s="62"/>
      <c r="M35" s="62"/>
      <c r="N35" s="62"/>
      <c r="O35" s="63">
        <f>O47</f>
        <v>54412</v>
      </c>
    </row>
    <row r="36" spans="1:24" ht="16.5" customHeight="1" thickBot="1" x14ac:dyDescent="0.45">
      <c r="A36" s="9"/>
      <c r="B36" s="10"/>
      <c r="C36" s="17"/>
      <c r="J36" s="54"/>
      <c r="K36" s="60" t="s">
        <v>73</v>
      </c>
      <c r="L36" s="44"/>
      <c r="M36" s="44"/>
      <c r="N36" s="44"/>
      <c r="O36" s="45">
        <f>O34+O35</f>
        <v>242944</v>
      </c>
    </row>
    <row r="37" spans="1:24" ht="16.5" customHeight="1" thickBot="1" x14ac:dyDescent="0.45">
      <c r="A37" s="9"/>
      <c r="B37" s="10"/>
      <c r="C37" s="17"/>
      <c r="J37" s="54"/>
      <c r="K37" s="54"/>
      <c r="L37" s="54"/>
      <c r="M37" s="54"/>
      <c r="N37" s="54"/>
      <c r="O37" s="54"/>
    </row>
    <row r="38" spans="1:24" ht="16.5" customHeight="1" thickBot="1" x14ac:dyDescent="0.45">
      <c r="A38" s="9"/>
      <c r="B38" s="10"/>
      <c r="C38" s="17"/>
      <c r="J38" s="67" t="s">
        <v>76</v>
      </c>
      <c r="K38" s="68"/>
      <c r="L38" s="54"/>
      <c r="M38" s="54"/>
      <c r="N38" s="54"/>
      <c r="O38" s="59">
        <f>O7</f>
        <v>1368</v>
      </c>
    </row>
    <row r="39" spans="1:24" ht="16.5" customHeight="1" thickBot="1" x14ac:dyDescent="0.45">
      <c r="A39" s="9"/>
      <c r="B39" s="10"/>
      <c r="C39" s="17"/>
      <c r="J39" s="69" t="s">
        <v>77</v>
      </c>
      <c r="K39" s="70"/>
      <c r="L39" s="54"/>
      <c r="M39" s="54"/>
      <c r="N39" s="54"/>
      <c r="O39" s="59">
        <f>O34-O7</f>
        <v>187164</v>
      </c>
    </row>
    <row r="40" spans="1:24" ht="16.5" customHeight="1" thickBot="1" x14ac:dyDescent="0.45">
      <c r="A40" s="9"/>
      <c r="B40" s="10"/>
      <c r="C40" s="17"/>
      <c r="J40" s="67" t="s">
        <v>83</v>
      </c>
      <c r="K40" s="68"/>
      <c r="L40" s="54"/>
      <c r="M40" s="54"/>
      <c r="N40" s="54"/>
      <c r="O40" s="59">
        <f>O43</f>
        <v>13224</v>
      </c>
    </row>
    <row r="41" spans="1:24" ht="16.5" customHeight="1" thickBot="1" x14ac:dyDescent="0.45">
      <c r="A41" s="9"/>
      <c r="B41" s="10"/>
      <c r="C41" s="17"/>
      <c r="J41" s="71" t="s">
        <v>84</v>
      </c>
      <c r="K41" s="72"/>
      <c r="L41" s="54"/>
      <c r="M41" s="54"/>
      <c r="N41" s="54"/>
      <c r="O41" s="66">
        <f>O46+O44</f>
        <v>41188</v>
      </c>
    </row>
    <row r="42" spans="1:24" ht="16.5" customHeight="1" thickBot="1" x14ac:dyDescent="0.45">
      <c r="A42" s="9"/>
      <c r="B42" s="10"/>
      <c r="C42" s="17"/>
      <c r="D42" s="1" t="s">
        <v>75</v>
      </c>
      <c r="J42" s="54"/>
      <c r="K42" s="54"/>
      <c r="L42" s="54"/>
      <c r="M42" s="54"/>
      <c r="N42" s="54"/>
      <c r="O42" s="54"/>
    </row>
    <row r="43" spans="1:24" ht="16.5" customHeight="1" x14ac:dyDescent="0.4">
      <c r="A43" s="9">
        <v>777</v>
      </c>
      <c r="B43" s="10" t="s">
        <v>24</v>
      </c>
      <c r="C43" s="17">
        <v>14419</v>
      </c>
      <c r="D43" s="5" t="s">
        <v>25</v>
      </c>
      <c r="E43" s="6">
        <v>1</v>
      </c>
      <c r="F43" s="6" t="s">
        <v>26</v>
      </c>
      <c r="G43" s="7" t="s">
        <v>27</v>
      </c>
      <c r="H43" s="8" t="s">
        <v>67</v>
      </c>
      <c r="I43" s="6" t="s">
        <v>29</v>
      </c>
      <c r="J43" s="29">
        <v>12022</v>
      </c>
      <c r="K43" s="29">
        <v>1202</v>
      </c>
      <c r="L43" s="29">
        <v>12022</v>
      </c>
      <c r="M43" s="29">
        <v>1202</v>
      </c>
      <c r="N43" s="29"/>
      <c r="O43" s="30">
        <f t="shared" si="0"/>
        <v>13224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 t="s">
        <v>30</v>
      </c>
      <c r="W43" s="1" t="s">
        <v>68</v>
      </c>
      <c r="X43" s="1" t="s">
        <v>69</v>
      </c>
    </row>
    <row r="44" spans="1:24" ht="16.5" customHeight="1" x14ac:dyDescent="0.4">
      <c r="A44" s="9">
        <v>777</v>
      </c>
      <c r="B44" s="10" t="s">
        <v>24</v>
      </c>
      <c r="C44" s="17">
        <v>14419</v>
      </c>
      <c r="D44" s="9" t="s">
        <v>25</v>
      </c>
      <c r="E44" s="10">
        <v>1</v>
      </c>
      <c r="F44" s="10" t="s">
        <v>26</v>
      </c>
      <c r="G44" s="11" t="s">
        <v>27</v>
      </c>
      <c r="H44" s="12" t="s">
        <v>67</v>
      </c>
      <c r="I44" s="10" t="s">
        <v>33</v>
      </c>
      <c r="J44" s="32">
        <v>28060</v>
      </c>
      <c r="K44" s="32">
        <v>2806</v>
      </c>
      <c r="L44" s="32">
        <v>28060</v>
      </c>
      <c r="M44" s="32">
        <v>2806</v>
      </c>
      <c r="N44" s="32"/>
      <c r="O44" s="34">
        <f t="shared" si="0"/>
        <v>30866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 t="s">
        <v>30</v>
      </c>
      <c r="W44" s="1" t="s">
        <v>70</v>
      </c>
      <c r="X44" s="1" t="s">
        <v>69</v>
      </c>
    </row>
    <row r="45" spans="1:24" hidden="1" x14ac:dyDescent="0.4">
      <c r="A45" s="9">
        <v>777</v>
      </c>
      <c r="B45" s="10" t="s">
        <v>24</v>
      </c>
      <c r="C45" s="17">
        <v>14419</v>
      </c>
      <c r="D45" s="9" t="s">
        <v>25</v>
      </c>
      <c r="E45" s="10">
        <v>2</v>
      </c>
      <c r="F45" s="10" t="s">
        <v>78</v>
      </c>
      <c r="G45" s="11" t="s">
        <v>48</v>
      </c>
      <c r="H45" s="12" t="s">
        <v>28</v>
      </c>
      <c r="I45" s="10" t="s">
        <v>33</v>
      </c>
      <c r="J45" s="32">
        <v>9384</v>
      </c>
      <c r="K45" s="32">
        <v>938</v>
      </c>
      <c r="L45" s="32">
        <v>9384</v>
      </c>
      <c r="M45" s="32">
        <v>938</v>
      </c>
      <c r="N45" s="32"/>
      <c r="O45" s="34">
        <f t="shared" si="0"/>
        <v>10322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 t="s">
        <v>30</v>
      </c>
      <c r="W45" s="1" t="s">
        <v>71</v>
      </c>
      <c r="X45" s="1" t="s">
        <v>69</v>
      </c>
    </row>
    <row r="46" spans="1:24" x14ac:dyDescent="0.4">
      <c r="A46" s="9"/>
      <c r="B46" s="10"/>
      <c r="C46" s="17"/>
      <c r="D46" s="9" t="s">
        <v>25</v>
      </c>
      <c r="E46" s="10">
        <v>3</v>
      </c>
      <c r="F46" s="10" t="s">
        <v>79</v>
      </c>
      <c r="G46" s="11" t="s">
        <v>81</v>
      </c>
      <c r="H46" s="12" t="s">
        <v>80</v>
      </c>
      <c r="I46" s="10" t="s">
        <v>82</v>
      </c>
      <c r="J46" s="41">
        <v>9384</v>
      </c>
      <c r="K46" s="41">
        <v>938</v>
      </c>
      <c r="L46" s="41"/>
      <c r="M46" s="41"/>
      <c r="N46" s="41"/>
      <c r="O46" s="42">
        <v>10322</v>
      </c>
    </row>
    <row r="47" spans="1:24" ht="16.5" thickBot="1" x14ac:dyDescent="0.45">
      <c r="A47" s="9"/>
      <c r="B47" s="10"/>
      <c r="C47" s="17"/>
      <c r="D47" s="13"/>
      <c r="E47" s="14"/>
      <c r="F47" s="14" t="s">
        <v>66</v>
      </c>
      <c r="G47" s="15"/>
      <c r="H47" s="16"/>
      <c r="I47" s="14"/>
      <c r="J47" s="35">
        <v>49466</v>
      </c>
      <c r="K47" s="35">
        <v>4946</v>
      </c>
      <c r="L47" s="35">
        <v>49466</v>
      </c>
      <c r="M47" s="35">
        <v>4946</v>
      </c>
      <c r="N47" s="35"/>
      <c r="O47" s="36">
        <f>J47+K47</f>
        <v>54412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X47" s="1" t="s">
        <v>69</v>
      </c>
    </row>
    <row r="50" ht="16.5" customHeight="1" thickBot="1" x14ac:dyDescent="0.45"/>
    <row r="51" ht="16.5" customHeight="1" thickBot="1" x14ac:dyDescent="0.45"/>
    <row r="55" ht="16.5" customHeight="1" thickBot="1" x14ac:dyDescent="0.45"/>
  </sheetData>
  <mergeCells count="4">
    <mergeCell ref="J38:K38"/>
    <mergeCell ref="J39:K39"/>
    <mergeCell ref="J40:K40"/>
    <mergeCell ref="J41:K41"/>
  </mergeCells>
  <phoneticPr fontId="3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口座振込請求書(契約者)777_202606送金分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0147</dc:creator>
  <cp:lastModifiedBy>0147</cp:lastModifiedBy>
  <cp:lastPrinted>2026-06-10T04:20:04Z</cp:lastPrinted>
  <dcterms:created xsi:type="dcterms:W3CDTF">2026-05-10T09:13:25Z</dcterms:created>
  <dcterms:modified xsi:type="dcterms:W3CDTF">2026-07-17T02:23:24Z</dcterms:modified>
</cp:coreProperties>
</file>